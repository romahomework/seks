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чёт" sheetId="1" state="visible" r:id="rId3"/>
    <sheet name="Методика" sheetId="2" state="visible" r:id="rId4"/>
  </sheets>
  <definedNames>
    <definedName function="false" hidden="false" localSheetId="0" name="_xlnm.Print_Area" vbProcedure="false">Расчёт!$A$1:$G$45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4" authorId="0">
      <text>
        <r>
          <rPr>
            <sz val="10"/>
            <rFont val="Arial"/>
            <family val="2"/>
          </rPr>
          <t xml:space="preserve">ПРИМЕР. Заменить номерами выбранных колодцев проекта.</t>
        </r>
      </text>
    </comment>
  </commentList>
</comments>
</file>

<file path=xl/sharedStrings.xml><?xml version="1.0" encoding="utf-8"?>
<sst xmlns="http://schemas.openxmlformats.org/spreadsheetml/2006/main" count="150" uniqueCount="131">
  <si>
    <t xml:space="preserve">Расчёт полимерных колодцев на всплытие по СП 399.1325800.2018</t>
  </si>
  <si>
    <t xml:space="preserve">Методика: приложение Д «Методика расчёта на всплытие трубопроводов, колодцев и ёмкостей», раздел «Колодцы», формулы (Д.8)–(Д.13)</t>
  </si>
  <si>
    <t xml:space="preserve">Условные обозначения:</t>
  </si>
  <si>
    <t xml:space="preserve">— исходные данные (заполнить); остальные ячейки считаются формулами</t>
  </si>
  <si>
    <t xml:space="preserve">ВНИМАНИЕ: значения в жёлтых ячейках колонок D–F — ПРИМЕР. Заменить данными проекта (отчёт ИГИ, каталог производителя колодцев, профиль сети).</t>
  </si>
  <si>
    <t xml:space="preserve">Общие параметры</t>
  </si>
  <si>
    <t xml:space="preserve">Ускорение свободного падения</t>
  </si>
  <si>
    <t xml:space="preserve">g</t>
  </si>
  <si>
    <t xml:space="preserve">м/с²</t>
  </si>
  <si>
    <t xml:space="preserve">Справочная величина</t>
  </si>
  <si>
    <t xml:space="preserve">Плотность воды</t>
  </si>
  <si>
    <t xml:space="preserve">ρ</t>
  </si>
  <si>
    <t xml:space="preserve">кг/м³</t>
  </si>
  <si>
    <t xml:space="preserve">Формула (Д.10)</t>
  </si>
  <si>
    <t xml:space="preserve">Коэффициент запаса</t>
  </si>
  <si>
    <t xml:space="preserve">k</t>
  </si>
  <si>
    <t xml:space="preserve">–</t>
  </si>
  <si>
    <t xml:space="preserve">п. Д.8 СП 399: k = 1,25</t>
  </si>
  <si>
    <t xml:space="preserve">Плотность железобетона якоря</t>
  </si>
  <si>
    <t xml:space="preserve">ρб</t>
  </si>
  <si>
    <t xml:space="preserve">Для перевода массы якоря в объём бетона; уточнить по проекту</t>
  </si>
  <si>
    <t xml:space="preserve">Параметр</t>
  </si>
  <si>
    <t xml:space="preserve">Обозн.</t>
  </si>
  <si>
    <t xml:space="preserve">Ед. изм.</t>
  </si>
  <si>
    <t xml:space="preserve">Колодец 1</t>
  </si>
  <si>
    <t xml:space="preserve">Колодец 2</t>
  </si>
  <si>
    <t xml:space="preserve">Колодец 3</t>
  </si>
  <si>
    <t xml:space="preserve">Формула / источник / примечание</t>
  </si>
  <si>
    <t xml:space="preserve">1. Исходные данные</t>
  </si>
  <si>
    <t xml:space="preserve">Номер колодца по проекту</t>
  </si>
  <si>
    <t xml:space="preserve">КК-1</t>
  </si>
  <si>
    <t xml:space="preserve">КК-2</t>
  </si>
  <si>
    <t xml:space="preserve">КК-3</t>
  </si>
  <si>
    <t xml:space="preserve">По плану сети</t>
  </si>
  <si>
    <t xml:space="preserve">Тип / условный проход колодца</t>
  </si>
  <si>
    <t xml:space="preserve">DN1000</t>
  </si>
  <si>
    <t xml:space="preserve">DN1500</t>
  </si>
  <si>
    <t xml:space="preserve">DN2000</t>
  </si>
  <si>
    <t xml:space="preserve">По каталогу производителя</t>
  </si>
  <si>
    <t xml:space="preserve">Наружный диаметр корпуса колодца</t>
  </si>
  <si>
    <t xml:space="preserve">Dн</t>
  </si>
  <si>
    <t xml:space="preserve">м</t>
  </si>
  <si>
    <t xml:space="preserve">Глубина колодца (от поверхности земли до низа днища)</t>
  </si>
  <si>
    <t xml:space="preserve">h</t>
  </si>
  <si>
    <t xml:space="preserve">По профилю сети</t>
  </si>
  <si>
    <t xml:space="preserve">Глубина расчётного уровня грунтовых вод от поверхности земли (максимально возможный УГВ; если вода выше поверхности — 0)</t>
  </si>
  <si>
    <t xml:space="preserve">hw</t>
  </si>
  <si>
    <t xml:space="preserve">По отчёту ИГИ, с учётом сезонного подъёма</t>
  </si>
  <si>
    <t xml:space="preserve">Удельный вес грунта обратной засыпки</t>
  </si>
  <si>
    <t xml:space="preserve">γ</t>
  </si>
  <si>
    <t xml:space="preserve">кН/м³</t>
  </si>
  <si>
    <t xml:space="preserve">По отчёту ИГИ. Ниже УГВ в запас можно принять удельный вес во взвешенном состоянии</t>
  </si>
  <si>
    <t xml:space="preserve">Угол внутреннего трения грунта</t>
  </si>
  <si>
    <t xml:space="preserve">α</t>
  </si>
  <si>
    <t xml:space="preserve">град</t>
  </si>
  <si>
    <t xml:space="preserve">По отчёту ИГИ / таблице Д.1 СП 399</t>
  </si>
  <si>
    <t xml:space="preserve">Масса колодца</t>
  </si>
  <si>
    <t xml:space="preserve">mк</t>
  </si>
  <si>
    <t xml:space="preserve">кг</t>
  </si>
  <si>
    <t xml:space="preserve">По каталогу производителя (корпус + днище + горловина)</t>
  </si>
  <si>
    <t xml:space="preserve">Масса опорной плиты, опирающейся на колодец (0 — если нет)</t>
  </si>
  <si>
    <t xml:space="preserve">mпл</t>
  </si>
  <si>
    <t xml:space="preserve">По проекту</t>
  </si>
  <si>
    <t xml:space="preserve">Масса принятого якоря (ж/б пригруз) — для проверки; пусто — подбор</t>
  </si>
  <si>
    <t xml:space="preserve">mя.ф</t>
  </si>
  <si>
    <t xml:space="preserve">Необязательно</t>
  </si>
  <si>
    <t xml:space="preserve">2. Расчёт</t>
  </si>
  <si>
    <t xml:space="preserve">Высота погружённой в воду части колодца</t>
  </si>
  <si>
    <t xml:space="preserve">H</t>
  </si>
  <si>
    <t xml:space="preserve">H = h − hw (0 ≤ H ≤ h)</t>
  </si>
  <si>
    <t xml:space="preserve">Сила Архимеда</t>
  </si>
  <si>
    <t xml:space="preserve">FA</t>
  </si>
  <si>
    <t xml:space="preserve">кН</t>
  </si>
  <si>
    <t xml:space="preserve">(Д.10): FA = π·ρ·g·Dн²/4·H</t>
  </si>
  <si>
    <t xml:space="preserve">Коэффициент бокового давления грунта</t>
  </si>
  <si>
    <t xml:space="preserve">λ</t>
  </si>
  <si>
    <t xml:space="preserve">λ = tg²(45° − α/2)</t>
  </si>
  <si>
    <t xml:space="preserve">Сила трения грунта по боковой поверхности</t>
  </si>
  <si>
    <t xml:space="preserve">Fтр</t>
  </si>
  <si>
    <t xml:space="preserve">(Д.11): Fтр = γ·(h²/2)·π·Dн·tg²(45° − α/2)·tg α</t>
  </si>
  <si>
    <t xml:space="preserve">Вес колодца</t>
  </si>
  <si>
    <t xml:space="preserve">Fк</t>
  </si>
  <si>
    <t xml:space="preserve">(Д.12): Fк = mк·g</t>
  </si>
  <si>
    <t xml:space="preserve">Вес опорной плиты</t>
  </si>
  <si>
    <t xml:space="preserve">Fпл</t>
  </si>
  <si>
    <t xml:space="preserve">(Д.13): Fпл = mпл·g</t>
  </si>
  <si>
    <t xml:space="preserve">Теоретическая масса якоря</t>
  </si>
  <si>
    <t xml:space="preserve">mя.т</t>
  </si>
  <si>
    <t xml:space="preserve">(Д.9): mя.т = (FA − Fтр − Fк − Fпл)/g; ≤ 0 — якорь не нужен</t>
  </si>
  <si>
    <t xml:space="preserve">Требуемая масса якоря</t>
  </si>
  <si>
    <t xml:space="preserve">mя</t>
  </si>
  <si>
    <t xml:space="preserve">(Д.8): mя = mя.т·k</t>
  </si>
  <si>
    <t xml:space="preserve">Требуемый объём ж/б якоря (по массе)</t>
  </si>
  <si>
    <t xml:space="preserve">Vб</t>
  </si>
  <si>
    <t xml:space="preserve">м³</t>
  </si>
  <si>
    <t xml:space="preserve">Vб = mя/ρб</t>
  </si>
  <si>
    <t xml:space="preserve">Справочно: объём ж/б якоря, если якорь ниже УГВ (с учётом взвешивания)</t>
  </si>
  <si>
    <t xml:space="preserve">Vб.взв</t>
  </si>
  <si>
    <t xml:space="preserve">Vб.взв = mя/(ρб − ρ). Сверх требований СП, рекомендуется в запас</t>
  </si>
  <si>
    <t xml:space="preserve">3. Вывод</t>
  </si>
  <si>
    <t xml:space="preserve">Результат расчёта</t>
  </si>
  <si>
    <t xml:space="preserve">mя.т ≤ 0 — устойчивость против всплытия обеспечена силами трения и собственным весом</t>
  </si>
  <si>
    <t xml:space="preserve">Проверка принятого якоря mя.ф ≥ mя</t>
  </si>
  <si>
    <t xml:space="preserve">Заполняется при заданной массе якоря (строка mя.ф)</t>
  </si>
  <si>
    <t xml:space="preserve">Справочно: отношение удерживающих сил без якоря к силе Архимеда (Fтр + Fк + Fпл)/FA</t>
  </si>
  <si>
    <t xml:space="preserve">Не нормируется СП 399, показывает запас</t>
  </si>
  <si>
    <t xml:space="preserve">Примечания:</t>
  </si>
  <si>
    <t xml:space="preserve">1. Расчёт выполняется при максимально возможном уровне грунтовых вод (с учётом сезонного подъёма и возможного подтопления).</t>
  </si>
  <si>
    <t xml:space="preserve">2. Формула (Д.11) предполагает уплотнённую обратную засыпку. Если засыпка ведётся без уплотнения (в т.ч. «в воду»), рекомендуется дополнительно проверить колодец без учёта трения (Fтр = 0).</t>
  </si>
  <si>
    <t xml:space="preserve">3. При α и γ принимать расчётные значения по отчёту инженерно-геологических изысканий для грунта обратной засыпки.</t>
  </si>
  <si>
    <t xml:space="preserve">4. Якорь (ж/б плита / кольцо пригруза) крепится к колодцу по схеме производителя; масса якоря — не менее mя.</t>
  </si>
  <si>
    <t xml:space="preserve">5. Строка «Vб.взв» и отношение удерживающих сил — справочные, сверх требований СП 399.</t>
  </si>
  <si>
    <t xml:space="preserve">Методика расчёта колодцев на всплытие — СП 399.1325800.2018, приложение Д (раздел «Колодцы»)</t>
  </si>
  <si>
    <t xml:space="preserve">Расчёт колодцев (в том числе вертикальных ёмкостей) на всплытие сводится к определению массы якоря:</t>
  </si>
  <si>
    <t xml:space="preserve">    mя = mя.т · k,   k = 1,25                                                     (Д.8)</t>
  </si>
  <si>
    <t xml:space="preserve">    mя.т = (FA − Fтр − Fк − Fпл) / g                                              (Д.9)</t>
  </si>
  <si>
    <t xml:space="preserve">Сила Архимеда:</t>
  </si>
  <si>
    <t xml:space="preserve">    FA = π · ρ · g · (Dн² / 4) · H                                                 (Д.10)</t>
  </si>
  <si>
    <t xml:space="preserve">Сила трения грунта по боковой поверхности колодца:</t>
  </si>
  <si>
    <t xml:space="preserve">    Fтр = γ · (h² / 2) · π · Dн · tg²(45° − α/2) · tg α                             (Д.11)</t>
  </si>
  <si>
    <t xml:space="preserve">Вес колодца и опорной плиты:</t>
  </si>
  <si>
    <t xml:space="preserve">    Fк = mк · g                                                                    (Д.12)</t>
  </si>
  <si>
    <t xml:space="preserve">    Fпл = mпл · g                                                                  (Д.13)</t>
  </si>
  <si>
    <t xml:space="preserve">Обозначения:</t>
  </si>
  <si>
    <t xml:space="preserve">    ρ — плотность воды, кг/м³;  g — ускорение свободного падения, м/с²;</t>
  </si>
  <si>
    <t xml:space="preserve">    Dн — наружный диаметр колодца, м;  H — высота погружённой в воду части колодца, м;</t>
  </si>
  <si>
    <t xml:space="preserve">    h — глубина колодца, м;  γ — удельный вес грунта, кН/м³;  α — угол внутреннего трения грунта, град;</t>
  </si>
  <si>
    <t xml:space="preserve">    mк — масса колодца, кг;  mпл — масса опорной плиты, кг;  k — коэффициент запаса.</t>
  </si>
  <si>
    <t xml:space="preserve">Примечание к формуле (Д.10): в тексте СП формула записана как FA = πρ(Dн²/4)H; множитель g добавлен для получения силы в ньютонах.</t>
  </si>
  <si>
    <t xml:space="preserve">Если mя.т ≤ 0, удерживающие силы превышают выталкивающую — якорь не требуется.</t>
  </si>
  <si>
    <t xml:space="preserve">Формулы приведены по открытым копиям текста СП 399.1325800.2018. Перед выпуском расчёта сверить с действующей редакцией СП (с изменениями).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</si>
</sst>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0.0"/>
    <numFmt numFmtId="168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6" min="4" style="0" width="15"/>
    <col collapsed="false" customWidth="true" hidden="false" outlineLevel="0" max="7" min="7" style="0" width="5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3" t="s">
        <v>2</v>
      </c>
      <c r="B3" s="4"/>
      <c r="C3" s="2" t="s">
        <v>3</v>
      </c>
      <c r="D3" s="2"/>
      <c r="E3" s="2"/>
      <c r="F3" s="2"/>
      <c r="G3" s="2"/>
    </row>
    <row r="4" customFormat="false" ht="15" hidden="false" customHeight="true" outlineLevel="0" collapsed="false">
      <c r="A4" s="5" t="s">
        <v>4</v>
      </c>
      <c r="B4" s="5"/>
      <c r="C4" s="5"/>
      <c r="D4" s="5"/>
      <c r="E4" s="5"/>
      <c r="F4" s="5"/>
      <c r="G4" s="5"/>
    </row>
    <row r="6" customFormat="false" ht="15" hidden="false" customHeight="true" outlineLevel="0" collapsed="false">
      <c r="A6" s="6" t="s">
        <v>5</v>
      </c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7" t="s">
        <v>6</v>
      </c>
      <c r="B7" s="8" t="s">
        <v>7</v>
      </c>
      <c r="C7" s="8" t="s">
        <v>8</v>
      </c>
      <c r="D7" s="9" t="n">
        <v>9.81</v>
      </c>
      <c r="G7" s="7" t="s">
        <v>9</v>
      </c>
    </row>
    <row r="8" customFormat="false" ht="15" hidden="false" customHeight="false" outlineLevel="0" collapsed="false">
      <c r="A8" s="7" t="s">
        <v>10</v>
      </c>
      <c r="B8" s="8" t="s">
        <v>11</v>
      </c>
      <c r="C8" s="8" t="s">
        <v>12</v>
      </c>
      <c r="D8" s="10" t="n">
        <v>1000</v>
      </c>
      <c r="G8" s="7" t="s">
        <v>13</v>
      </c>
    </row>
    <row r="9" customFormat="false" ht="15" hidden="false" customHeight="false" outlineLevel="0" collapsed="false">
      <c r="A9" s="7" t="s">
        <v>14</v>
      </c>
      <c r="B9" s="8" t="s">
        <v>15</v>
      </c>
      <c r="C9" s="8" t="s">
        <v>16</v>
      </c>
      <c r="D9" s="9" t="n">
        <v>1.25</v>
      </c>
      <c r="G9" s="7" t="s">
        <v>17</v>
      </c>
    </row>
    <row r="10" customFormat="false" ht="23.85" hidden="false" customHeight="false" outlineLevel="0" collapsed="false">
      <c r="A10" s="7" t="s">
        <v>18</v>
      </c>
      <c r="B10" s="8" t="s">
        <v>19</v>
      </c>
      <c r="C10" s="8" t="s">
        <v>12</v>
      </c>
      <c r="D10" s="10" t="n">
        <v>2500</v>
      </c>
      <c r="G10" s="7" t="s">
        <v>20</v>
      </c>
    </row>
    <row r="12" customFormat="false" ht="27.75" hidden="false" customHeight="true" outlineLevel="0" collapsed="false">
      <c r="A12" s="11" t="s">
        <v>21</v>
      </c>
      <c r="B12" s="11" t="s">
        <v>22</v>
      </c>
      <c r="C12" s="11" t="s">
        <v>23</v>
      </c>
      <c r="D12" s="11" t="s">
        <v>24</v>
      </c>
      <c r="E12" s="11" t="s">
        <v>25</v>
      </c>
      <c r="F12" s="11" t="s">
        <v>26</v>
      </c>
      <c r="G12" s="11" t="s">
        <v>27</v>
      </c>
    </row>
    <row r="13" customFormat="false" ht="18" hidden="false" customHeight="true" outlineLevel="0" collapsed="false">
      <c r="A13" s="6" t="s">
        <v>28</v>
      </c>
      <c r="B13" s="6"/>
      <c r="C13" s="6"/>
      <c r="D13" s="6"/>
      <c r="E13" s="6"/>
      <c r="F13" s="6"/>
      <c r="G13" s="6"/>
    </row>
    <row r="14" customFormat="false" ht="25.5" hidden="false" customHeight="true" outlineLevel="0" collapsed="false">
      <c r="A14" s="7" t="s">
        <v>29</v>
      </c>
      <c r="B14" s="8" t="s">
        <v>16</v>
      </c>
      <c r="C14" s="8" t="s">
        <v>16</v>
      </c>
      <c r="D14" s="12" t="s">
        <v>30</v>
      </c>
      <c r="E14" s="12" t="s">
        <v>31</v>
      </c>
      <c r="F14" s="12" t="s">
        <v>32</v>
      </c>
      <c r="G14" s="7" t="s">
        <v>33</v>
      </c>
    </row>
    <row r="15" customFormat="false" ht="25.5" hidden="false" customHeight="true" outlineLevel="0" collapsed="false">
      <c r="A15" s="7" t="s">
        <v>34</v>
      </c>
      <c r="B15" s="8" t="s">
        <v>16</v>
      </c>
      <c r="C15" s="8" t="s">
        <v>16</v>
      </c>
      <c r="D15" s="12" t="s">
        <v>35</v>
      </c>
      <c r="E15" s="12" t="s">
        <v>36</v>
      </c>
      <c r="F15" s="12" t="s">
        <v>37</v>
      </c>
      <c r="G15" s="7" t="s">
        <v>38</v>
      </c>
    </row>
    <row r="16" customFormat="false" ht="25.5" hidden="false" customHeight="true" outlineLevel="0" collapsed="false">
      <c r="A16" s="7" t="s">
        <v>39</v>
      </c>
      <c r="B16" s="8" t="s">
        <v>40</v>
      </c>
      <c r="C16" s="8" t="s">
        <v>41</v>
      </c>
      <c r="D16" s="9" t="n">
        <v>1.1</v>
      </c>
      <c r="E16" s="9" t="n">
        <v>1.6</v>
      </c>
      <c r="F16" s="9" t="n">
        <v>2.1</v>
      </c>
      <c r="G16" s="7" t="s">
        <v>38</v>
      </c>
    </row>
    <row r="17" customFormat="false" ht="25.5" hidden="false" customHeight="true" outlineLevel="0" collapsed="false">
      <c r="A17" s="7" t="s">
        <v>42</v>
      </c>
      <c r="B17" s="8" t="s">
        <v>43</v>
      </c>
      <c r="C17" s="8" t="s">
        <v>41</v>
      </c>
      <c r="D17" s="9" t="n">
        <v>3</v>
      </c>
      <c r="E17" s="9" t="n">
        <v>2.2</v>
      </c>
      <c r="F17" s="9" t="n">
        <v>2.5</v>
      </c>
      <c r="G17" s="7" t="s">
        <v>44</v>
      </c>
    </row>
    <row r="18" customFormat="false" ht="51.75" hidden="false" customHeight="true" outlineLevel="0" collapsed="false">
      <c r="A18" s="7" t="s">
        <v>45</v>
      </c>
      <c r="B18" s="8" t="s">
        <v>46</v>
      </c>
      <c r="C18" s="8" t="s">
        <v>41</v>
      </c>
      <c r="D18" s="9" t="n">
        <v>1</v>
      </c>
      <c r="E18" s="9" t="n">
        <v>0</v>
      </c>
      <c r="F18" s="9" t="n">
        <v>0.3</v>
      </c>
      <c r="G18" s="7" t="s">
        <v>47</v>
      </c>
    </row>
    <row r="19" customFormat="false" ht="39.75" hidden="false" customHeight="true" outlineLevel="0" collapsed="false">
      <c r="A19" s="7" t="s">
        <v>48</v>
      </c>
      <c r="B19" s="8" t="s">
        <v>49</v>
      </c>
      <c r="C19" s="8" t="s">
        <v>50</v>
      </c>
      <c r="D19" s="13" t="n">
        <v>18</v>
      </c>
      <c r="E19" s="13" t="n">
        <v>17</v>
      </c>
      <c r="F19" s="13" t="n">
        <v>18</v>
      </c>
      <c r="G19" s="7" t="s">
        <v>51</v>
      </c>
    </row>
    <row r="20" customFormat="false" ht="25.5" hidden="false" customHeight="true" outlineLevel="0" collapsed="false">
      <c r="A20" s="7" t="s">
        <v>52</v>
      </c>
      <c r="B20" s="8" t="s">
        <v>53</v>
      </c>
      <c r="C20" s="8" t="s">
        <v>54</v>
      </c>
      <c r="D20" s="10" t="n">
        <v>28</v>
      </c>
      <c r="E20" s="10" t="n">
        <v>10</v>
      </c>
      <c r="F20" s="10" t="n">
        <v>12</v>
      </c>
      <c r="G20" s="7" t="s">
        <v>55</v>
      </c>
    </row>
    <row r="21" customFormat="false" ht="25.5" hidden="false" customHeight="true" outlineLevel="0" collapsed="false">
      <c r="A21" s="7" t="s">
        <v>56</v>
      </c>
      <c r="B21" s="8" t="s">
        <v>57</v>
      </c>
      <c r="C21" s="8" t="s">
        <v>58</v>
      </c>
      <c r="D21" s="10" t="n">
        <v>120</v>
      </c>
      <c r="E21" s="10" t="n">
        <v>200</v>
      </c>
      <c r="F21" s="10" t="n">
        <v>400</v>
      </c>
      <c r="G21" s="7" t="s">
        <v>59</v>
      </c>
    </row>
    <row r="22" customFormat="false" ht="30" hidden="false" customHeight="true" outlineLevel="0" collapsed="false">
      <c r="A22" s="7" t="s">
        <v>60</v>
      </c>
      <c r="B22" s="8" t="s">
        <v>61</v>
      </c>
      <c r="C22" s="8" t="s">
        <v>58</v>
      </c>
      <c r="D22" s="10" t="n">
        <v>0</v>
      </c>
      <c r="E22" s="10" t="n">
        <v>0</v>
      </c>
      <c r="F22" s="10" t="n">
        <v>0</v>
      </c>
      <c r="G22" s="7" t="s">
        <v>62</v>
      </c>
    </row>
    <row r="23" customFormat="false" ht="30" hidden="false" customHeight="true" outlineLevel="0" collapsed="false">
      <c r="A23" s="7" t="s">
        <v>63</v>
      </c>
      <c r="B23" s="8" t="s">
        <v>64</v>
      </c>
      <c r="C23" s="8" t="s">
        <v>58</v>
      </c>
      <c r="D23" s="10"/>
      <c r="E23" s="10"/>
      <c r="F23" s="10"/>
      <c r="G23" s="7" t="s">
        <v>65</v>
      </c>
    </row>
    <row r="24" customFormat="false" ht="18" hidden="false" customHeight="true" outlineLevel="0" collapsed="false">
      <c r="A24" s="6" t="s">
        <v>66</v>
      </c>
      <c r="B24" s="6"/>
      <c r="C24" s="6"/>
      <c r="D24" s="6"/>
      <c r="E24" s="6"/>
      <c r="F24" s="6"/>
      <c r="G24" s="6"/>
    </row>
    <row r="25" customFormat="false" ht="25.5" hidden="false" customHeight="true" outlineLevel="0" collapsed="false">
      <c r="A25" s="7" t="s">
        <v>67</v>
      </c>
      <c r="B25" s="8" t="s">
        <v>68</v>
      </c>
      <c r="C25" s="8" t="s">
        <v>41</v>
      </c>
      <c r="D25" s="14" t="n">
        <f aca="false">MIN(D17,MAX(0,D17-D18))</f>
        <v>2</v>
      </c>
      <c r="E25" s="14" t="n">
        <f aca="false">MIN(E17,MAX(0,E17-E18))</f>
        <v>2.2</v>
      </c>
      <c r="F25" s="14" t="n">
        <f aca="false">MIN(F17,MAX(0,F17-F18))</f>
        <v>2.2</v>
      </c>
      <c r="G25" s="7" t="s">
        <v>69</v>
      </c>
    </row>
    <row r="26" customFormat="false" ht="25.5" hidden="false" customHeight="true" outlineLevel="0" collapsed="false">
      <c r="A26" s="7" t="s">
        <v>70</v>
      </c>
      <c r="B26" s="8" t="s">
        <v>71</v>
      </c>
      <c r="C26" s="8" t="s">
        <v>72</v>
      </c>
      <c r="D26" s="14" t="n">
        <f aca="false">PI()*$D$8*$D$7*D16^2/4*D25/1000</f>
        <v>18.6455094786881</v>
      </c>
      <c r="E26" s="14" t="n">
        <f aca="false">PI()*$D$8*$D$7*E16^2/4*E25/1000</f>
        <v>43.393185695856</v>
      </c>
      <c r="F26" s="14" t="n">
        <f aca="false">PI()*$D$8*$D$7*F16^2/4*F25/1000</f>
        <v>74.7515425463769</v>
      </c>
      <c r="G26" s="7" t="s">
        <v>73</v>
      </c>
    </row>
    <row r="27" customFormat="false" ht="25.5" hidden="false" customHeight="true" outlineLevel="0" collapsed="false">
      <c r="A27" s="7" t="s">
        <v>74</v>
      </c>
      <c r="B27" s="8" t="s">
        <v>75</v>
      </c>
      <c r="C27" s="8" t="s">
        <v>16</v>
      </c>
      <c r="D27" s="15" t="n">
        <f aca="false">TAN(RADIANS(45-D20/2))^2</f>
        <v>0.361033483498183</v>
      </c>
      <c r="E27" s="15" t="n">
        <f aca="false">TAN(RADIANS(45-E20/2))^2</f>
        <v>0.704088191041847</v>
      </c>
      <c r="F27" s="15" t="n">
        <f aca="false">TAN(RADIANS(45-F20/2))^2</f>
        <v>0.655750180417573</v>
      </c>
      <c r="G27" s="7" t="s">
        <v>76</v>
      </c>
    </row>
    <row r="28" customFormat="false" ht="25.5" hidden="false" customHeight="true" outlineLevel="0" collapsed="false">
      <c r="A28" s="7" t="s">
        <v>77</v>
      </c>
      <c r="B28" s="8" t="s">
        <v>78</v>
      </c>
      <c r="C28" s="8" t="s">
        <v>72</v>
      </c>
      <c r="D28" s="14" t="n">
        <f aca="false">D19*D17^2/2*PI()*D16*D27*TAN(RADIANS(D20))</f>
        <v>53.7340311245539</v>
      </c>
      <c r="E28" s="14" t="n">
        <f aca="false">E19*E17^2/2*PI()*E16*E27*TAN(RADIANS(E20))</f>
        <v>25.6731982310779</v>
      </c>
      <c r="F28" s="14" t="n">
        <f aca="false">F19*F17^2/2*PI()*F16*F27*TAN(RADIANS(F20))</f>
        <v>51.7254918790362</v>
      </c>
      <c r="G28" s="7" t="s">
        <v>79</v>
      </c>
    </row>
    <row r="29" customFormat="false" ht="25.5" hidden="false" customHeight="true" outlineLevel="0" collapsed="false">
      <c r="A29" s="7" t="s">
        <v>80</v>
      </c>
      <c r="B29" s="8" t="s">
        <v>81</v>
      </c>
      <c r="C29" s="8" t="s">
        <v>72</v>
      </c>
      <c r="D29" s="14" t="n">
        <f aca="false">D21*$D$7/1000</f>
        <v>1.1772</v>
      </c>
      <c r="E29" s="14" t="n">
        <f aca="false">E21*$D$7/1000</f>
        <v>1.962</v>
      </c>
      <c r="F29" s="14" t="n">
        <f aca="false">F21*$D$7/1000</f>
        <v>3.924</v>
      </c>
      <c r="G29" s="7" t="s">
        <v>82</v>
      </c>
    </row>
    <row r="30" customFormat="false" ht="25.5" hidden="false" customHeight="true" outlineLevel="0" collapsed="false">
      <c r="A30" s="7" t="s">
        <v>83</v>
      </c>
      <c r="B30" s="8" t="s">
        <v>84</v>
      </c>
      <c r="C30" s="8" t="s">
        <v>72</v>
      </c>
      <c r="D30" s="14" t="n">
        <f aca="false">D22*$D$7/1000</f>
        <v>0</v>
      </c>
      <c r="E30" s="14" t="n">
        <f aca="false">E22*$D$7/1000</f>
        <v>0</v>
      </c>
      <c r="F30" s="14" t="n">
        <f aca="false">F22*$D$7/1000</f>
        <v>0</v>
      </c>
      <c r="G30" s="7" t="s">
        <v>85</v>
      </c>
    </row>
    <row r="31" customFormat="false" ht="25.5" hidden="false" customHeight="true" outlineLevel="0" collapsed="false">
      <c r="A31" s="7" t="s">
        <v>86</v>
      </c>
      <c r="B31" s="8" t="s">
        <v>87</v>
      </c>
      <c r="C31" s="8" t="s">
        <v>58</v>
      </c>
      <c r="D31" s="16" t="n">
        <f aca="false">(D26-D28-D29-D30)*1000/$D$7</f>
        <v>-3696.8115846958</v>
      </c>
      <c r="E31" s="16" t="n">
        <f aca="false">(E26-E28-E29-E30)*1000/$D$7</f>
        <v>1606.31880374904</v>
      </c>
      <c r="F31" s="16" t="n">
        <f aca="false">(F26-F28-F29-F30)*1000/$D$7</f>
        <v>1947.20190288896</v>
      </c>
      <c r="G31" s="7" t="s">
        <v>88</v>
      </c>
    </row>
    <row r="32" customFormat="false" ht="25.5" hidden="false" customHeight="true" outlineLevel="0" collapsed="false">
      <c r="A32" s="7" t="s">
        <v>89</v>
      </c>
      <c r="B32" s="8" t="s">
        <v>90</v>
      </c>
      <c r="C32" s="8" t="s">
        <v>58</v>
      </c>
      <c r="D32" s="16" t="n">
        <f aca="false">IF(D31&gt;0,D31*$D$9,0)</f>
        <v>0</v>
      </c>
      <c r="E32" s="16" t="n">
        <f aca="false">IF(E31&gt;0,E31*$D$9,0)</f>
        <v>2007.8985046863</v>
      </c>
      <c r="F32" s="16" t="n">
        <f aca="false">IF(F31&gt;0,F31*$D$9,0)</f>
        <v>2434.00237861119</v>
      </c>
      <c r="G32" s="7" t="s">
        <v>91</v>
      </c>
    </row>
    <row r="33" customFormat="false" ht="25.5" hidden="false" customHeight="true" outlineLevel="0" collapsed="false">
      <c r="A33" s="7" t="s">
        <v>92</v>
      </c>
      <c r="B33" s="8" t="s">
        <v>93</v>
      </c>
      <c r="C33" s="8" t="s">
        <v>94</v>
      </c>
      <c r="D33" s="14" t="n">
        <f aca="false">D32/$D$10</f>
        <v>0</v>
      </c>
      <c r="E33" s="14" t="n">
        <f aca="false">E32/$D$10</f>
        <v>0.803159401874518</v>
      </c>
      <c r="F33" s="14" t="n">
        <f aca="false">F32/$D$10</f>
        <v>0.973600951444478</v>
      </c>
      <c r="G33" s="7" t="s">
        <v>95</v>
      </c>
    </row>
    <row r="34" customFormat="false" ht="30" hidden="false" customHeight="true" outlineLevel="0" collapsed="false">
      <c r="A34" s="7" t="s">
        <v>96</v>
      </c>
      <c r="B34" s="8" t="s">
        <v>97</v>
      </c>
      <c r="C34" s="8" t="s">
        <v>94</v>
      </c>
      <c r="D34" s="14" t="n">
        <f aca="false">D32/($D$10-$D$8)</f>
        <v>0</v>
      </c>
      <c r="E34" s="14" t="n">
        <f aca="false">E32/($D$10-$D$8)</f>
        <v>1.3385990031242</v>
      </c>
      <c r="F34" s="14" t="n">
        <f aca="false">F32/($D$10-$D$8)</f>
        <v>1.62266825240746</v>
      </c>
      <c r="G34" s="7" t="s">
        <v>98</v>
      </c>
    </row>
    <row r="35" customFormat="false" ht="18" hidden="false" customHeight="true" outlineLevel="0" collapsed="false">
      <c r="A35" s="6" t="s">
        <v>99</v>
      </c>
      <c r="B35" s="6"/>
      <c r="C35" s="6"/>
      <c r="D35" s="6"/>
      <c r="E35" s="6"/>
      <c r="F35" s="6"/>
      <c r="G35" s="6"/>
    </row>
    <row r="36" customFormat="false" ht="36" hidden="false" customHeight="true" outlineLevel="0" collapsed="false">
      <c r="A36" s="17" t="s">
        <v>100</v>
      </c>
      <c r="B36" s="8"/>
      <c r="C36" s="8"/>
      <c r="D36" s="18" t="str">
        <f aca="false">IF(D31&lt;=0,"Устойчив, якорь не требуется","Нужен якорь ≥ "&amp;TEXT(ROUNDUP(D32,-1),"0")&amp;" кг")</f>
        <v>Устойчив, якорь не требуется</v>
      </c>
      <c r="E36" s="18" t="str">
        <f aca="false">IF(E31&lt;=0,"Устойчив, якорь не требуется","Нужен якорь ≥ "&amp;TEXT(ROUNDUP(E32,-1),"0")&amp;" кг")</f>
        <v>Нужен якорь ≥ 2010 кг</v>
      </c>
      <c r="F36" s="18" t="str">
        <f aca="false">IF(F31&lt;=0,"Устойчив, якорь не требуется","Нужен якорь ≥ "&amp;TEXT(ROUNDUP(F32,-1),"0")&amp;" кг")</f>
        <v>Нужен якорь ≥ 2440 кг</v>
      </c>
      <c r="G36" s="7" t="s">
        <v>101</v>
      </c>
    </row>
    <row r="37" customFormat="false" ht="25.5" hidden="false" customHeight="true" outlineLevel="0" collapsed="false">
      <c r="A37" s="17" t="s">
        <v>102</v>
      </c>
      <c r="B37" s="8"/>
      <c r="C37" s="8"/>
      <c r="D37" s="18" t="str">
        <f aca="false">IF(D23="","—",IF(D23&gt;=D32,"Обеспечено","НЕ обеспечено"))</f>
        <v>—</v>
      </c>
      <c r="E37" s="18" t="str">
        <f aca="false">IF(E23="","—",IF(E23&gt;=E32,"Обеспечено","НЕ обеспечено"))</f>
        <v>—</v>
      </c>
      <c r="F37" s="18" t="str">
        <f aca="false">IF(F23="","—",IF(F23&gt;=F32,"Обеспечено","НЕ обеспечено"))</f>
        <v>—</v>
      </c>
      <c r="G37" s="7" t="s">
        <v>103</v>
      </c>
    </row>
    <row r="38" customFormat="false" ht="30" hidden="false" customHeight="true" outlineLevel="0" collapsed="false">
      <c r="A38" s="7" t="s">
        <v>104</v>
      </c>
      <c r="B38" s="8"/>
      <c r="C38" s="8" t="s">
        <v>16</v>
      </c>
      <c r="D38" s="14" t="n">
        <f aca="false">IF(D26=0,"нет воды",(D28+D29+D30)/D26)</f>
        <v>2.94501103267345</v>
      </c>
      <c r="E38" s="14" t="n">
        <f aca="false">IF(E26=0,"нет воды",(E28+E29+E30)/E26)</f>
        <v>0.636855713354944</v>
      </c>
      <c r="F38" s="14" t="n">
        <f aca="false">IF(F26=0,"нет воды",(F28+F29+F30)/F26)</f>
        <v>0.744459445027646</v>
      </c>
      <c r="G38" s="7" t="s">
        <v>105</v>
      </c>
    </row>
    <row r="40" customFormat="false" ht="15" hidden="false" customHeight="true" outlineLevel="0" collapsed="false">
      <c r="A40" s="19" t="s">
        <v>106</v>
      </c>
      <c r="B40" s="19"/>
      <c r="C40" s="19"/>
      <c r="D40" s="19"/>
      <c r="E40" s="19"/>
      <c r="F40" s="19"/>
      <c r="G40" s="19"/>
    </row>
    <row r="41" customFormat="false" ht="27" hidden="false" customHeight="true" outlineLevel="0" collapsed="false">
      <c r="A41" s="2" t="s">
        <v>107</v>
      </c>
      <c r="B41" s="2"/>
      <c r="C41" s="2"/>
      <c r="D41" s="2"/>
      <c r="E41" s="2"/>
      <c r="F41" s="2"/>
      <c r="G41" s="2"/>
    </row>
    <row r="42" customFormat="false" ht="27" hidden="false" customHeight="true" outlineLevel="0" collapsed="false">
      <c r="A42" s="2" t="s">
        <v>108</v>
      </c>
      <c r="B42" s="2"/>
      <c r="C42" s="2"/>
      <c r="D42" s="2"/>
      <c r="E42" s="2"/>
      <c r="F42" s="2"/>
      <c r="G42" s="2"/>
    </row>
    <row r="43" customFormat="false" ht="27" hidden="false" customHeight="true" outlineLevel="0" collapsed="false">
      <c r="A43" s="2" t="s">
        <v>109</v>
      </c>
      <c r="B43" s="2"/>
      <c r="C43" s="2"/>
      <c r="D43" s="2"/>
      <c r="E43" s="2"/>
      <c r="F43" s="2"/>
      <c r="G43" s="2"/>
    </row>
    <row r="44" customFormat="false" ht="27" hidden="false" customHeight="true" outlineLevel="0" collapsed="false">
      <c r="A44" s="2" t="s">
        <v>110</v>
      </c>
      <c r="B44" s="2"/>
      <c r="C44" s="2"/>
      <c r="D44" s="2"/>
      <c r="E44" s="2"/>
      <c r="F44" s="2"/>
      <c r="G44" s="2"/>
    </row>
    <row r="45" customFormat="false" ht="27" hidden="false" customHeight="true" outlineLevel="0" collapsed="false">
      <c r="A45" s="2" t="s">
        <v>111</v>
      </c>
      <c r="B45" s="2"/>
      <c r="C45" s="2"/>
      <c r="D45" s="2"/>
      <c r="E45" s="2"/>
      <c r="F45" s="2"/>
      <c r="G45" s="2"/>
    </row>
  </sheetData>
  <mergeCells count="14">
    <mergeCell ref="A1:G1"/>
    <mergeCell ref="A2:G2"/>
    <mergeCell ref="C3:G3"/>
    <mergeCell ref="A4:G4"/>
    <mergeCell ref="A6:G6"/>
    <mergeCell ref="A13:G13"/>
    <mergeCell ref="A24:G24"/>
    <mergeCell ref="A35:G35"/>
    <mergeCell ref="A40:G40"/>
    <mergeCell ref="A41:G41"/>
    <mergeCell ref="A42:G42"/>
    <mergeCell ref="A43:G43"/>
    <mergeCell ref="A44:G44"/>
    <mergeCell ref="A45:G45"/>
  </mergeCells>
  <conditionalFormatting sqref="D36:F36">
    <cfRule type="expression" priority="2" aboveAverage="0" equalAverage="0" bottom="0" percent="0" rank="0" text="" dxfId="0">
      <formula>D$31&lt;=0</formula>
    </cfRule>
    <cfRule type="expression" priority="3" aboveAverage="0" equalAverage="0" bottom="0" percent="0" rank="0" text="" dxfId="1">
      <formula>D$31&gt;0</formula>
    </cfRule>
  </conditionalFormatting>
  <conditionalFormatting sqref="D37:F37">
    <cfRule type="expression" priority="4" aboveAverage="0" equalAverage="0" bottom="0" percent="0" rank="0" text="" dxfId="0">
      <formula>D37="Обеспечено"</formula>
    </cfRule>
    <cfRule type="expression" priority="5" aboveAverage="0" equalAverage="0" bottom="0" percent="0" rank="0" text="" dxfId="1">
      <formula>D37="НЕ обеспечено"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20" t="s">
        <v>112</v>
      </c>
    </row>
    <row r="2" customFormat="false" ht="15" hidden="false" customHeight="false" outlineLevel="0" collapsed="false">
      <c r="A2" s="21"/>
    </row>
    <row r="3" customFormat="false" ht="15" hidden="false" customHeight="false" outlineLevel="0" collapsed="false">
      <c r="A3" s="21" t="s">
        <v>113</v>
      </c>
    </row>
    <row r="4" customFormat="false" ht="15" hidden="false" customHeight="false" outlineLevel="0" collapsed="false">
      <c r="A4" s="3" t="s">
        <v>114</v>
      </c>
    </row>
    <row r="5" customFormat="false" ht="15" hidden="false" customHeight="false" outlineLevel="0" collapsed="false">
      <c r="A5" s="3" t="s">
        <v>115</v>
      </c>
    </row>
    <row r="6" customFormat="false" ht="15" hidden="false" customHeight="false" outlineLevel="0" collapsed="false">
      <c r="A6" s="21" t="s">
        <v>116</v>
      </c>
    </row>
    <row r="7" customFormat="false" ht="15" hidden="false" customHeight="false" outlineLevel="0" collapsed="false">
      <c r="A7" s="3" t="s">
        <v>117</v>
      </c>
    </row>
    <row r="8" customFormat="false" ht="15" hidden="false" customHeight="false" outlineLevel="0" collapsed="false">
      <c r="A8" s="21" t="s">
        <v>118</v>
      </c>
    </row>
    <row r="9" customFormat="false" ht="15" hidden="false" customHeight="false" outlineLevel="0" collapsed="false">
      <c r="A9" s="3" t="s">
        <v>119</v>
      </c>
    </row>
    <row r="10" customFormat="false" ht="15" hidden="false" customHeight="false" outlineLevel="0" collapsed="false">
      <c r="A10" s="21" t="s">
        <v>120</v>
      </c>
    </row>
    <row r="11" customFormat="false" ht="15" hidden="false" customHeight="false" outlineLevel="0" collapsed="false">
      <c r="A11" s="3" t="s">
        <v>121</v>
      </c>
    </row>
    <row r="12" customFormat="false" ht="15" hidden="false" customHeight="false" outlineLevel="0" collapsed="false">
      <c r="A12" s="3" t="s">
        <v>122</v>
      </c>
    </row>
    <row r="13" customFormat="false" ht="15" hidden="false" customHeight="false" outlineLevel="0" collapsed="false">
      <c r="A13" s="21"/>
    </row>
    <row r="14" customFormat="false" ht="15" hidden="false" customHeight="false" outlineLevel="0" collapsed="false">
      <c r="A14" s="3" t="s">
        <v>123</v>
      </c>
    </row>
    <row r="15" customFormat="false" ht="15" hidden="false" customHeight="false" outlineLevel="0" collapsed="false">
      <c r="A15" s="21" t="s">
        <v>124</v>
      </c>
    </row>
    <row r="16" customFormat="false" ht="15" hidden="false" customHeight="false" outlineLevel="0" collapsed="false">
      <c r="A16" s="21" t="s">
        <v>125</v>
      </c>
    </row>
    <row r="17" customFormat="false" ht="15" hidden="false" customHeight="false" outlineLevel="0" collapsed="false">
      <c r="A17" s="21" t="s">
        <v>126</v>
      </c>
    </row>
    <row r="18" customFormat="false" ht="15" hidden="false" customHeight="false" outlineLevel="0" collapsed="false">
      <c r="A18" s="21" t="s">
        <v>127</v>
      </c>
    </row>
    <row r="19" customFormat="false" ht="15" hidden="false" customHeight="false" outlineLevel="0" collapsed="false">
      <c r="A19" s="21"/>
    </row>
    <row r="20" customFormat="false" ht="15" hidden="false" customHeight="false" outlineLevel="0" collapsed="false">
      <c r="A20" s="21" t="s">
        <v>128</v>
      </c>
    </row>
    <row r="21" customFormat="false" ht="15" hidden="false" customHeight="false" outlineLevel="0" collapsed="false">
      <c r="A21" s="21" t="s">
        <v>129</v>
      </c>
    </row>
    <row r="22" customFormat="false" ht="15" hidden="false" customHeight="false" outlineLevel="0" collapsed="false">
      <c r="A22" s="21"/>
    </row>
    <row r="23" customFormat="false" ht="23.85" hidden="false" customHeight="false" outlineLevel="0" collapsed="false">
      <c r="A23" s="2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2026-10-20T06:23:17Z</dcterms:created>
  <dc:creator>openpyxl</dc:creator>
  <dc:description/>
  <dc:language>en-US</dc:language>
  <cp:lastModifiedBy/>
  <dcterms:modified xsi:type="dcterms:W3CDTF">2026-10-20T06:23:17Z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